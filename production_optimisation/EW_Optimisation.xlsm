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"/>
    </mc:Choice>
  </mc:AlternateContent>
  <xr:revisionPtr revIDLastSave="0" documentId="13_ncr:1_{525664D4-4056-BB4A-858C-FE5AF273E448}" xr6:coauthVersionLast="47" xr6:coauthVersionMax="47" xr10:uidLastSave="{00000000-0000-0000-0000-000000000000}"/>
  <bookViews>
    <workbookView xWindow="-860" yWindow="-17440" windowWidth="28040" windowHeight="17440" xr2:uid="{EA2C22CB-02E5-4E47-BD5A-EE445D314940}"/>
  </bookViews>
  <sheets>
    <sheet name="Orders_dataframe" sheetId="3" r:id="rId1"/>
    <sheet name="Index_sets_dataframe" sheetId="4" r:id="rId2"/>
    <sheet name="Config_main" sheetId="1" r:id="rId3"/>
    <sheet name="Config_availability" sheetId="5" r:id="rId4"/>
    <sheet name="Config_skills" sheetId="6" r:id="rId5"/>
    <sheet name="Planning" sheetId="8" r:id="rId6"/>
    <sheet name="helper_read_sheets" sheetId="2" r:id="rId7"/>
    <sheet name="helper_time_intervals" sheetId="7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7" l="1"/>
  <c r="A1" i="6" a="1"/>
  <c r="A1" i="6" s="1"/>
  <c r="B8" i="2"/>
  <c r="B9" i="2"/>
  <c r="B2" i="2"/>
  <c r="B3" i="2"/>
  <c r="B4" i="2"/>
  <c r="B5" i="2"/>
  <c r="B6" i="2"/>
  <c r="B7" i="2"/>
  <c r="B1" i="2"/>
  <c r="A1" i="2"/>
  <c r="C2" i="4" a="1"/>
  <c r="C2" i="4" s="1"/>
  <c r="B1" i="6" s="1" a="1"/>
  <c r="B1" i="6" s="1"/>
  <c r="E2" i="4" a="1"/>
  <c r="E2" i="4" s="1"/>
  <c r="G2" i="4" a="1"/>
  <c r="G2" i="4" s="1"/>
  <c r="F2" i="4" a="1"/>
  <c r="F2" i="4" s="1"/>
  <c r="F8" i="7"/>
  <c r="B2" i="7" s="1"/>
  <c r="B3" i="7" s="1"/>
  <c r="E2" i="7"/>
  <c r="F2" i="7"/>
  <c r="E3" i="7"/>
  <c r="F3" i="7"/>
  <c r="A1" i="7" s="1"/>
  <c r="E4" i="7"/>
  <c r="F4" i="7"/>
  <c r="E5" i="7"/>
  <c r="F5" i="7"/>
  <c r="E6" i="7"/>
  <c r="F6" i="7"/>
  <c r="E7" i="7"/>
  <c r="E8" i="7"/>
  <c r="F1" i="7"/>
  <c r="E1" i="7"/>
  <c r="K9" i="1" a="1"/>
  <c r="K10" i="1" a="1"/>
  <c r="K8" i="1" a="1"/>
  <c r="K4" i="1" a="1"/>
  <c r="K3" i="1" a="1"/>
  <c r="K5" i="1" a="1"/>
  <c r="K6" i="1" a="1"/>
  <c r="K7" i="1" a="1"/>
  <c r="K7" i="1" l="1"/>
  <c r="K5" i="1"/>
  <c r="K6" i="1"/>
  <c r="K4" i="1"/>
  <c r="K3" i="1"/>
  <c r="K8" i="1"/>
  <c r="K10" i="1"/>
  <c r="A9" i="2" s="1"/>
  <c r="A5" i="2"/>
  <c r="K9" i="1"/>
  <c r="A4" i="2"/>
  <c r="A6" i="2"/>
  <c r="A8" i="2"/>
  <c r="A7" i="2"/>
  <c r="A3" i="2"/>
  <c r="A2" i="2"/>
  <c r="B1" i="5" a="1"/>
  <c r="B1" i="5" s="1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B4" i="7"/>
  <c r="B5" i="7" s="1"/>
  <c r="D2" i="4" l="1" a="1"/>
  <c r="D2" i="4" s="1"/>
  <c r="A1" i="5" s="1" a="1"/>
  <c r="A1" i="5" s="1"/>
  <c r="B6" i="7"/>
  <c r="B7" i="7" s="1"/>
  <c r="B8" i="7" s="1"/>
  <c r="B9" i="7" l="1"/>
  <c r="B10" i="7" l="1"/>
  <c r="B11" i="7" l="1"/>
  <c r="B12" i="7" l="1"/>
  <c r="B13" i="7" l="1"/>
  <c r="B14" i="7" s="1"/>
  <c r="B15" i="7" s="1"/>
  <c r="B16" i="7" s="1"/>
  <c r="B17" i="7" l="1"/>
  <c r="B18" i="7" s="1"/>
  <c r="B19" i="7" l="1"/>
  <c r="B20" i="7" s="1"/>
  <c r="B21" i="7"/>
  <c r="B22" i="7" s="1"/>
  <c r="B23" i="7" s="1"/>
  <c r="B24" i="7" s="1"/>
  <c r="B25" i="7" l="1"/>
  <c r="B26" i="7" s="1"/>
  <c r="B27" i="7" s="1"/>
  <c r="B28" i="7" l="1"/>
  <c r="B29" i="7" l="1"/>
  <c r="B30" i="7" l="1"/>
  <c r="B31" i="7" l="1"/>
  <c r="B32" i="7" l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l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A2" i="4" l="1" a="1"/>
  <c r="A2" i="4" s="1"/>
  <c r="B2" i="4" a="1"/>
  <c r="B2" i="4" s="1"/>
  <c r="O3" i="3"/>
  <c r="O4" i="3"/>
  <c r="O5" i="3"/>
  <c r="O6" i="3"/>
  <c r="O7" i="3"/>
  <c r="O2" i="3"/>
  <c r="J3" i="3"/>
  <c r="J4" i="3"/>
  <c r="J5" i="3"/>
  <c r="J6" i="3"/>
  <c r="J7" i="3"/>
  <c r="J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<sst xmlns="http://schemas.openxmlformats.org/spreadsheetml/2006/main" count="109" uniqueCount="74">
  <si>
    <t>Orders</t>
  </si>
  <si>
    <t>Unique_Code</t>
  </si>
  <si>
    <t>Time_hours_lowerbound</t>
  </si>
  <si>
    <t>Time_hours_upperbound</t>
  </si>
  <si>
    <t>Production_line_specific_line</t>
  </si>
  <si>
    <t>Date_start</t>
  </si>
  <si>
    <t>Date_deadline</t>
  </si>
  <si>
    <t>Previous_sub_order</t>
  </si>
  <si>
    <t>Next_sub_order</t>
  </si>
  <si>
    <t>Revenue</t>
  </si>
  <si>
    <t>Order_number</t>
  </si>
  <si>
    <t>Sub_order</t>
  </si>
  <si>
    <t>On_line</t>
  </si>
  <si>
    <t>Percentage_prev_sub_order_needed_before_next_sub_order</t>
  </si>
  <si>
    <t>Manual_urgency</t>
  </si>
  <si>
    <t>Time_required</t>
  </si>
  <si>
    <t>Time_to_complete</t>
  </si>
  <si>
    <t>MAG</t>
  </si>
  <si>
    <t>SMD</t>
  </si>
  <si>
    <t>SMD2</t>
  </si>
  <si>
    <t>MONT</t>
  </si>
  <si>
    <t>51124_MAG</t>
  </si>
  <si>
    <t>51124_SMD</t>
  </si>
  <si>
    <t>51124_SMD2</t>
  </si>
  <si>
    <t>51124_MONT</t>
  </si>
  <si>
    <t>71234_MAG</t>
  </si>
  <si>
    <t>71234_MONT</t>
  </si>
  <si>
    <t>LINE_B</t>
  </si>
  <si>
    <t>Time_completed</t>
  </si>
  <si>
    <t>NONE</t>
  </si>
  <si>
    <t>Quantity_completed</t>
  </si>
  <si>
    <t>Quantity_to_complete</t>
  </si>
  <si>
    <t>Quantity_required</t>
  </si>
  <si>
    <t>Orders_suborders</t>
  </si>
  <si>
    <t>Sub_orders</t>
  </si>
  <si>
    <t>Employee_line</t>
  </si>
  <si>
    <t>Employees</t>
  </si>
  <si>
    <t>Production_lines</t>
  </si>
  <si>
    <t>listofsheets</t>
  </si>
  <si>
    <t>sheet_type</t>
  </si>
  <si>
    <t>Description</t>
  </si>
  <si>
    <t>1234WawMan</t>
  </si>
  <si>
    <t>NamWaw4321</t>
  </si>
  <si>
    <t>List with sheet_types</t>
  </si>
  <si>
    <t>Description of sheettypes</t>
  </si>
  <si>
    <t>PERS1</t>
  </si>
  <si>
    <t>PERS2</t>
  </si>
  <si>
    <t>PERS3</t>
  </si>
  <si>
    <t>PERS4</t>
  </si>
  <si>
    <t>LINE_A</t>
  </si>
  <si>
    <t>SETS</t>
  </si>
  <si>
    <t>TIME</t>
  </si>
  <si>
    <t>Start Date</t>
  </si>
  <si>
    <t>End Date</t>
  </si>
  <si>
    <t>Interval length</t>
  </si>
  <si>
    <t>Number of Intervals</t>
  </si>
  <si>
    <t>Start Time</t>
  </si>
  <si>
    <t>End Time</t>
  </si>
  <si>
    <t>Note</t>
  </si>
  <si>
    <t xml:space="preserve">Max 400, drag formula in B:B further for more. </t>
  </si>
  <si>
    <t>Element</t>
  </si>
  <si>
    <t>Value</t>
  </si>
  <si>
    <t>df_dont_read</t>
  </si>
  <si>
    <t>df_read</t>
  </si>
  <si>
    <t>df_sets_of_index</t>
  </si>
  <si>
    <t>df_orders</t>
  </si>
  <si>
    <t>df_index1</t>
  </si>
  <si>
    <t>If the df is the Orders_df</t>
  </si>
  <si>
    <t xml:space="preserve">If the index of the df should be the first column. </t>
  </si>
  <si>
    <t>If the df is the Index_sets_df</t>
  </si>
  <si>
    <t>If the df should be read</t>
  </si>
  <si>
    <r>
      <t xml:space="preserve">If the df should </t>
    </r>
    <r>
      <rPr>
        <b/>
        <sz val="12"/>
        <color theme="1"/>
        <rFont val="Calibri"/>
        <family val="2"/>
        <scheme val="minor"/>
      </rPr>
      <t>not</t>
    </r>
    <r>
      <rPr>
        <sz val="12"/>
        <color theme="1"/>
        <rFont val="Calibri"/>
        <family val="2"/>
        <scheme val="minor"/>
      </rPr>
      <t xml:space="preserve"> be read</t>
    </r>
  </si>
  <si>
    <t>Sheet Index</t>
  </si>
  <si>
    <t>Time_intervals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</si>
</sst>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BE840-7EA1-3746-85BF-B574FB519554}">
  <sheetPr codeName="Sheet1"/>
  <dimension ref="A1:U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baseColWidth="10" defaultColWidth="13.33203125" defaultRowHeight="16" x14ac:dyDescent="0.2"/>
  <cols>
    <col min="1" max="1" width="13.33203125" style="7"/>
  </cols>
  <sheetData>
    <row r="1" spans="1:21" ht="33" customHeight="1" thickBot="1" x14ac:dyDescent="0.25">
      <c r="A1" s="12" t="s">
        <v>1</v>
      </c>
      <c r="B1" s="13" t="s">
        <v>10</v>
      </c>
      <c r="C1" s="13" t="s">
        <v>11</v>
      </c>
      <c r="D1" s="13" t="s">
        <v>40</v>
      </c>
      <c r="E1" s="13" t="s">
        <v>9</v>
      </c>
      <c r="F1" s="13" t="s">
        <v>12</v>
      </c>
      <c r="G1" s="13" t="s">
        <v>4</v>
      </c>
      <c r="H1" s="13" t="s">
        <v>15</v>
      </c>
      <c r="I1" s="13" t="s">
        <v>28</v>
      </c>
      <c r="J1" s="3" t="s">
        <v>16</v>
      </c>
      <c r="K1" s="4" t="s">
        <v>2</v>
      </c>
      <c r="L1" s="3" t="s">
        <v>3</v>
      </c>
      <c r="M1" s="13" t="s">
        <v>32</v>
      </c>
      <c r="N1" s="13" t="s">
        <v>30</v>
      </c>
      <c r="O1" s="3" t="s">
        <v>31</v>
      </c>
      <c r="P1" s="13" t="s">
        <v>5</v>
      </c>
      <c r="Q1" s="13" t="s">
        <v>6</v>
      </c>
      <c r="R1" s="13" t="s">
        <v>7</v>
      </c>
      <c r="S1" s="13" t="s">
        <v>8</v>
      </c>
      <c r="T1" s="13" t="s">
        <v>13</v>
      </c>
      <c r="U1" s="13" t="s">
        <v>14</v>
      </c>
    </row>
    <row r="2" spans="1:21" x14ac:dyDescent="0.2">
      <c r="A2" s="6" t="s">
        <v>21</v>
      </c>
      <c r="B2">
        <v>51124</v>
      </c>
      <c r="C2" t="s">
        <v>17</v>
      </c>
      <c r="D2" t="s">
        <v>41</v>
      </c>
      <c r="E2">
        <v>100</v>
      </c>
      <c r="H2">
        <v>1</v>
      </c>
      <c r="I2">
        <v>0</v>
      </c>
      <c r="J2">
        <f>H2-I2</f>
        <v>1</v>
      </c>
      <c r="K2">
        <v>1</v>
      </c>
      <c r="L2">
        <v>1</v>
      </c>
      <c r="M2">
        <v>10</v>
      </c>
      <c r="N2">
        <v>0</v>
      </c>
      <c r="O2">
        <f>M2-N2</f>
        <v>10</v>
      </c>
      <c r="P2" s="1">
        <v>45159</v>
      </c>
      <c r="Q2" s="1">
        <v>45160</v>
      </c>
      <c r="R2" t="s">
        <v>29</v>
      </c>
      <c r="S2" t="s">
        <v>18</v>
      </c>
      <c r="T2">
        <v>1</v>
      </c>
      <c r="U2">
        <v>0</v>
      </c>
    </row>
    <row r="3" spans="1:21" x14ac:dyDescent="0.2">
      <c r="A3" s="6" t="s">
        <v>22</v>
      </c>
      <c r="B3">
        <v>51124</v>
      </c>
      <c r="C3" t="s">
        <v>18</v>
      </c>
      <c r="D3" t="s">
        <v>41</v>
      </c>
      <c r="E3">
        <v>100</v>
      </c>
      <c r="H3">
        <v>1</v>
      </c>
      <c r="I3">
        <v>0</v>
      </c>
      <c r="J3">
        <f t="shared" ref="J3:J7" si="0">H3-I3</f>
        <v>1</v>
      </c>
      <c r="K3">
        <v>1</v>
      </c>
      <c r="L3">
        <v>1</v>
      </c>
      <c r="M3">
        <v>10</v>
      </c>
      <c r="N3">
        <v>0</v>
      </c>
      <c r="O3">
        <f t="shared" ref="O3:O7" si="1">M3-N3</f>
        <v>10</v>
      </c>
      <c r="P3" s="1">
        <v>45159</v>
      </c>
      <c r="Q3" s="1">
        <v>45160</v>
      </c>
      <c r="R3" t="s">
        <v>17</v>
      </c>
      <c r="S3" t="s">
        <v>19</v>
      </c>
      <c r="T3">
        <v>1</v>
      </c>
      <c r="U3">
        <v>0</v>
      </c>
    </row>
    <row r="4" spans="1:21" x14ac:dyDescent="0.2">
      <c r="A4" s="6" t="s">
        <v>23</v>
      </c>
      <c r="B4">
        <v>51124</v>
      </c>
      <c r="C4" t="s">
        <v>19</v>
      </c>
      <c r="D4" t="s">
        <v>41</v>
      </c>
      <c r="E4">
        <v>100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18</v>
      </c>
      <c r="S4" t="s">
        <v>20</v>
      </c>
      <c r="T4">
        <v>1</v>
      </c>
      <c r="U4">
        <v>0</v>
      </c>
    </row>
    <row r="5" spans="1:21" x14ac:dyDescent="0.2">
      <c r="A5" s="6" t="s">
        <v>24</v>
      </c>
      <c r="B5">
        <v>51124</v>
      </c>
      <c r="C5" t="s">
        <v>20</v>
      </c>
      <c r="D5" t="s">
        <v>41</v>
      </c>
      <c r="E5">
        <v>100</v>
      </c>
      <c r="F5" t="b">
        <v>1</v>
      </c>
      <c r="G5" t="s">
        <v>27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19</v>
      </c>
      <c r="S5" t="s">
        <v>29</v>
      </c>
      <c r="T5">
        <v>1</v>
      </c>
      <c r="U5">
        <v>0</v>
      </c>
    </row>
    <row r="6" spans="1:21" x14ac:dyDescent="0.2">
      <c r="A6" s="6" t="s">
        <v>25</v>
      </c>
      <c r="B6">
        <v>71234</v>
      </c>
      <c r="C6" t="s">
        <v>17</v>
      </c>
      <c r="D6" t="s">
        <v>42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29</v>
      </c>
      <c r="S6" t="s">
        <v>20</v>
      </c>
      <c r="T6">
        <v>1</v>
      </c>
      <c r="U6">
        <v>0</v>
      </c>
    </row>
    <row r="7" spans="1:21" x14ac:dyDescent="0.2">
      <c r="A7" s="6" t="s">
        <v>26</v>
      </c>
      <c r="B7">
        <v>71234</v>
      </c>
      <c r="C7" t="s">
        <v>20</v>
      </c>
      <c r="D7" t="s">
        <v>42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17</v>
      </c>
      <c r="S7" t="s">
        <v>29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35688-C47F-BD43-A63E-6C981D918736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thickBot="1" x14ac:dyDescent="0.25">
      <c r="A1" s="5" t="s">
        <v>33</v>
      </c>
      <c r="B1" s="2" t="s">
        <v>0</v>
      </c>
      <c r="C1" s="2" t="s">
        <v>34</v>
      </c>
      <c r="D1" s="2" t="s">
        <v>73</v>
      </c>
      <c r="E1" s="2" t="s">
        <v>35</v>
      </c>
      <c r="F1" s="2" t="s">
        <v>36</v>
      </c>
      <c r="G1" s="2" t="s">
        <v>37</v>
      </c>
    </row>
    <row r="2" spans="1:7" x14ac:dyDescent="0.2">
      <c r="A2" t="str" cm="1">
        <f t="array" ref="A2:A7">_xlfn.UNIQUE(_xlfn._xlws.FILTER(Orders_dataframe!A:A, (Orders_dataframe!A:A&lt;&gt;Orders_dataframe!A1)*(Orders_dataframe!A:A&lt;&gt;0)*(Orders_dataframe!A:A&lt;&gt;"")))</f>
        <v>51124_MAG</v>
      </c>
      <c r="B2" cm="1">
        <f t="array" ref="B2:B3">_xlfn.UNIQUE(_xlfn._xlws.FILTER(Orders_dataframe!B:B, (Orders_dataframe!B:B&lt;&gt;Orders_dataframe!B1)*(Orders_dataframe!B:B&lt;&gt;0)*(Orders_dataframe!B:B&lt;&gt;"")))</f>
        <v>51124</v>
      </c>
      <c r="C2" t="str" cm="1">
        <f t="array" ref="C2:C6">_xlfn._xlws.FILTER(Config_main!D:D, (Config_main!D:D&lt;&gt;0)*(Config_main!D:D&lt;&gt;"")*(Config_main!D:D&lt;&gt;Config_main!D1)*(Config_main!D:D&lt;&gt;Config_main!D2))</f>
        <v>NONE</v>
      </c>
      <c r="D2" s="11" cm="1">
        <f t="array" ref="D2:D19">_xlfn._xlws.FILTER(helper_time_intervals!A:A,(helper_time_intervals!A:A&lt;&gt;0)*(helper_time_intervals!A:A&lt;&gt;""))</f>
        <v>45159.333333333336</v>
      </c>
      <c r="E2" t="str" cm="1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 cm="1">
        <f t="array" ref="F2:F5">_xlfn._xlws.FILTER(Config_main!B:B,(Config_main!B:B&lt;&gt;0)*(Config_main!B:B&lt;&gt;Config_main!B2)*(Config_main!B:B&lt;&gt;Config_main!B1))</f>
        <v>PERS1</v>
      </c>
      <c r="G2" t="str" cm="1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802A-159F-7541-95D3-F052ABE53649}">
  <sheetPr codeName="Sheet3"/>
  <dimension ref="B1:O11"/>
  <sheetViews>
    <sheetView workbookViewId="0">
      <selection activeCell="C18" sqref="C18"/>
    </sheetView>
  </sheetViews>
  <sheetFormatPr baseColWidth="10" defaultRowHeight="16" x14ac:dyDescent="0.2"/>
  <cols>
    <col min="1" max="1" width="2.6640625" customWidth="1"/>
    <col min="2" max="2" width="14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50</v>
      </c>
      <c r="C1" s="8"/>
      <c r="D1" s="8"/>
      <c r="F1" s="9" t="s">
        <v>51</v>
      </c>
      <c r="G1" s="8"/>
      <c r="H1" s="8"/>
      <c r="J1" s="9" t="s">
        <v>51</v>
      </c>
      <c r="K1" s="8"/>
      <c r="L1" s="18"/>
      <c r="M1" s="8"/>
      <c r="N1" s="8"/>
      <c r="O1" s="8"/>
    </row>
    <row r="2" spans="2:15" ht="17" thickBot="1" x14ac:dyDescent="0.25">
      <c r="B2" s="2" t="s">
        <v>36</v>
      </c>
      <c r="C2" s="2" t="s">
        <v>37</v>
      </c>
      <c r="D2" s="2" t="s">
        <v>34</v>
      </c>
      <c r="F2" s="2" t="s">
        <v>60</v>
      </c>
      <c r="G2" s="2" t="s">
        <v>61</v>
      </c>
      <c r="H2" s="2" t="s">
        <v>58</v>
      </c>
      <c r="J2" s="2" t="s">
        <v>72</v>
      </c>
      <c r="K2" s="2" t="s">
        <v>38</v>
      </c>
      <c r="L2" s="2" t="s">
        <v>39</v>
      </c>
      <c r="M2" s="2"/>
      <c r="N2" s="2" t="s">
        <v>43</v>
      </c>
      <c r="O2" s="2" t="s">
        <v>44</v>
      </c>
    </row>
    <row r="3" spans="2:15" x14ac:dyDescent="0.2">
      <c r="B3" t="s">
        <v>45</v>
      </c>
      <c r="C3" t="s">
        <v>49</v>
      </c>
      <c r="D3" t="s">
        <v>29</v>
      </c>
      <c r="F3" t="s">
        <v>52</v>
      </c>
      <c r="G3" s="1">
        <v>45159</v>
      </c>
      <c r="H3" s="1"/>
      <c r="J3">
        <v>1</v>
      </c>
      <c r="K3" t="str" cm="1">
        <f t="array" ref="K3">GetSheetNameByIndex(J3)</f>
        <v>Orders_dataframe</v>
      </c>
      <c r="L3" t="s">
        <v>65</v>
      </c>
      <c r="N3" t="s">
        <v>62</v>
      </c>
      <c r="O3" t="s">
        <v>71</v>
      </c>
    </row>
    <row r="4" spans="2:15" x14ac:dyDescent="0.2">
      <c r="B4" t="s">
        <v>46</v>
      </c>
      <c r="C4" t="s">
        <v>27</v>
      </c>
      <c r="D4" t="s">
        <v>17</v>
      </c>
      <c r="F4" t="s">
        <v>53</v>
      </c>
      <c r="G4" s="1">
        <v>45161</v>
      </c>
      <c r="H4" s="1"/>
      <c r="J4">
        <v>2</v>
      </c>
      <c r="K4" t="str" cm="1">
        <f t="array" ref="K4">GetSheetNameByIndex(J4)</f>
        <v>Index_sets_dataframe</v>
      </c>
      <c r="L4" t="s">
        <v>64</v>
      </c>
      <c r="N4" t="s">
        <v>63</v>
      </c>
      <c r="O4" t="s">
        <v>70</v>
      </c>
    </row>
    <row r="5" spans="2:15" x14ac:dyDescent="0.2">
      <c r="B5" t="s">
        <v>47</v>
      </c>
      <c r="D5" t="s">
        <v>18</v>
      </c>
      <c r="F5" t="s">
        <v>56</v>
      </c>
      <c r="G5" s="10">
        <v>0.33333333333333331</v>
      </c>
      <c r="H5" s="10"/>
      <c r="J5">
        <v>3</v>
      </c>
      <c r="K5" t="str" cm="1">
        <f t="array" ref="K5">GetSheetNameByIndex(J5)</f>
        <v>Config_main</v>
      </c>
      <c r="L5" t="s">
        <v>62</v>
      </c>
      <c r="N5" t="s">
        <v>64</v>
      </c>
      <c r="O5" t="s">
        <v>69</v>
      </c>
    </row>
    <row r="6" spans="2:15" x14ac:dyDescent="0.2">
      <c r="B6" t="s">
        <v>48</v>
      </c>
      <c r="D6" t="s">
        <v>19</v>
      </c>
      <c r="F6" t="s">
        <v>57</v>
      </c>
      <c r="G6" s="10">
        <v>0.66666666666666663</v>
      </c>
      <c r="H6" s="10"/>
      <c r="J6">
        <v>4</v>
      </c>
      <c r="K6" t="str" cm="1">
        <f t="array" ref="K6">GetSheetNameByIndex(J6)</f>
        <v>Config_availability</v>
      </c>
      <c r="L6" t="s">
        <v>66</v>
      </c>
      <c r="N6" t="s">
        <v>65</v>
      </c>
      <c r="O6" t="s">
        <v>67</v>
      </c>
    </row>
    <row r="7" spans="2:15" x14ac:dyDescent="0.2">
      <c r="D7" t="s">
        <v>20</v>
      </c>
      <c r="F7" t="s">
        <v>54</v>
      </c>
      <c r="G7" s="19">
        <v>4.1666666666666664E-2</v>
      </c>
      <c r="J7">
        <v>5</v>
      </c>
      <c r="K7" t="str" cm="1">
        <f t="array" ref="K7">GetSheetNameByIndex(J7)</f>
        <v>Config_skills</v>
      </c>
      <c r="L7" t="s">
        <v>66</v>
      </c>
      <c r="N7" t="s">
        <v>66</v>
      </c>
      <c r="O7" t="s">
        <v>68</v>
      </c>
    </row>
    <row r="8" spans="2:15" x14ac:dyDescent="0.2">
      <c r="F8" t="s">
        <v>55</v>
      </c>
      <c r="G8">
        <v>400</v>
      </c>
      <c r="H8" t="s">
        <v>59</v>
      </c>
      <c r="J8">
        <v>6</v>
      </c>
      <c r="K8" t="str" cm="1">
        <f t="array" ref="K8">GetSheetNameByIndex(J8)</f>
        <v>Planning</v>
      </c>
      <c r="L8" t="s">
        <v>63</v>
      </c>
    </row>
    <row r="9" spans="2:15" x14ac:dyDescent="0.2">
      <c r="J9">
        <v>7</v>
      </c>
      <c r="K9" t="str" cm="1">
        <f t="array" ref="K9">GetSheetNameByIndex(J9)</f>
        <v>helper_read_sheets</v>
      </c>
      <c r="L9" t="s">
        <v>66</v>
      </c>
    </row>
    <row r="10" spans="2:15" x14ac:dyDescent="0.2">
      <c r="J10">
        <v>8</v>
      </c>
      <c r="K10" t="str" cm="1">
        <f t="array" ref="K10">GetSheetNameByIndex(J10)</f>
        <v>helper_time_intervals</v>
      </c>
      <c r="L10" t="s">
        <v>62</v>
      </c>
    </row>
    <row r="11" spans="2:15" x14ac:dyDescent="0.2">
      <c r="J11" s="17"/>
      <c r="K11" s="17"/>
      <c r="L11" s="17"/>
    </row>
  </sheetData>
  <phoneticPr fontId="3" type="noConversion"/>
  <dataValidations count="1">
    <dataValidation type="list" allowBlank="1" showInputMessage="1" showErrorMessage="1" sqref="L3:L10" xr:uid="{963DC61E-05AF-6E48-9CBD-EB4625FECAF1}">
      <formula1>$N$3:$N$7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C86C-BA11-2540-BB19-C3075A41F73A}">
  <sheetPr codeName="Sheet4"/>
  <dimension ref="A1:G19"/>
  <sheetViews>
    <sheetView workbookViewId="0">
      <selection activeCell="C24" sqref="C24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 cm="1">
        <f t="array" ref="A1:A19">_xlfn._xlws.FILTER(Index_sets_dataframe!D:D, (Index_sets_dataframe!D:D&lt;&gt;0)*(Index_sets_dataframe!D:D&lt;&gt;""))</f>
        <v>Time_intervals</v>
      </c>
      <c r="B1" t="str" cm="1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F7B12-4EEB-5240-9EC2-A4EA70A1FC1B}">
  <sheetPr codeName="Sheet5"/>
  <dimension ref="A1:F7"/>
  <sheetViews>
    <sheetView workbookViewId="0">
      <selection activeCell="G1" sqref="G1:P1048576"/>
    </sheetView>
  </sheetViews>
  <sheetFormatPr baseColWidth="10" defaultRowHeight="16" x14ac:dyDescent="0.2"/>
  <sheetData>
    <row r="1" spans="1:6" x14ac:dyDescent="0.2">
      <c r="A1" t="str" cm="1">
        <f t="array" ref="A1:A7">_xlfn._xlws.FILTER(Index_sets_dataframe!E:E, (Index_sets_dataframe!E:E&lt;&gt;0)*(Index_sets_dataframe!E:E&lt;&gt;""))</f>
        <v>Employee_line</v>
      </c>
      <c r="B1" t="str" cm="1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10325-84A7-064C-B656-0D32AD40AE0B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B07E2-E202-2742-8CCF-F6BB64F21C9E}">
  <sheetPr codeName="Sheet7"/>
  <dimension ref="A1:B9"/>
  <sheetViews>
    <sheetView workbookViewId="0">
      <selection activeCell="C18" sqref="C18"/>
    </sheetView>
  </sheetViews>
  <sheetFormatPr baseColWidth="10" defaultRowHeight="16" x14ac:dyDescent="0.2"/>
  <sheetData>
    <row r="1" spans="1:2" x14ac:dyDescent="0.2">
      <c r="A1" t="str">
        <f>Config_main!K2</f>
        <v>listofsheets</v>
      </c>
      <c r="B1" t="str">
        <f>Config_main!L2</f>
        <v>sheet_type</v>
      </c>
    </row>
    <row r="2" spans="1:2" x14ac:dyDescent="0.2">
      <c r="A2" t="str">
        <f>Config_main!K3</f>
        <v>Orders_dataframe</v>
      </c>
      <c r="B2" t="str">
        <f>Config_main!L3</f>
        <v>df_orders</v>
      </c>
    </row>
    <row r="3" spans="1:2" x14ac:dyDescent="0.2">
      <c r="A3" t="str">
        <f>Config_main!K4</f>
        <v>Index_sets_dataframe</v>
      </c>
      <c r="B3" t="str">
        <f>Config_main!L4</f>
        <v>df_sets_of_index</v>
      </c>
    </row>
    <row r="4" spans="1:2" x14ac:dyDescent="0.2">
      <c r="A4" t="str">
        <f>Config_main!K5</f>
        <v>Config_main</v>
      </c>
      <c r="B4" t="str">
        <f>Config_main!L5</f>
        <v>df_dont_read</v>
      </c>
    </row>
    <row r="5" spans="1:2" x14ac:dyDescent="0.2">
      <c r="A5" t="str">
        <f>Config_main!K6</f>
        <v>Config_availability</v>
      </c>
      <c r="B5" t="str">
        <f>Config_main!L6</f>
        <v>df_index1</v>
      </c>
    </row>
    <row r="6" spans="1:2" x14ac:dyDescent="0.2">
      <c r="A6" t="str">
        <f>Config_main!K7</f>
        <v>Config_skills</v>
      </c>
      <c r="B6" t="str">
        <f>Config_main!L7</f>
        <v>df_index1</v>
      </c>
    </row>
    <row r="7" spans="1:2" x14ac:dyDescent="0.2">
      <c r="A7" t="str">
        <f>Config_main!K8</f>
        <v>Planning</v>
      </c>
      <c r="B7" t="str">
        <f>Config_main!L8</f>
        <v>df_read</v>
      </c>
    </row>
    <row r="8" spans="1:2" x14ac:dyDescent="0.2">
      <c r="A8" t="str">
        <f>Config_main!K9</f>
        <v>helper_read_sheets</v>
      </c>
      <c r="B8" t="str">
        <f>Config_main!L9</f>
        <v>df_index1</v>
      </c>
    </row>
    <row r="9" spans="1:2" x14ac:dyDescent="0.2">
      <c r="A9" t="str">
        <f>Config_main!K10</f>
        <v>helper_time_intervals</v>
      </c>
      <c r="B9" t="str">
        <f>Config_main!L10</f>
        <v>df_dont_read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247DE-DC98-B84F-A66B-65F421410B19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 t="shared" ref="A3:A30" si="0"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si="0"/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4.1666666666666664E-2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helper_read_sheets</vt:lpstr>
      <vt:lpstr>helper_time_intervals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2023-08-18T23:12:55Z</dcterms:modified>
</cp:coreProperties>
</file>